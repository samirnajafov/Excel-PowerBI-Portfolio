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D:\Samir\Portfolio\"/>
    </mc:Choice>
  </mc:AlternateContent>
  <xr:revisionPtr revIDLastSave="0" documentId="13_ncr:1_{CB42657C-AC57-4C38-9D51-061542133968}" xr6:coauthVersionLast="47" xr6:coauthVersionMax="47" xr10:uidLastSave="{00000000-0000-0000-0000-000000000000}"/>
  <bookViews>
    <workbookView xWindow="-120" yWindow="-120" windowWidth="20730" windowHeight="11160" activeTab="2" xr2:uid="{00000000-000D-0000-FFFF-FFFF00000000}"/>
  </bookViews>
  <sheets>
    <sheet name="Data" sheetId="6" r:id="rId1"/>
    <sheet name="Pivot table" sheetId="7" r:id="rId2"/>
    <sheet name="Dashboard" sheetId="5" r:id="rId3"/>
  </sheets>
  <definedNames>
    <definedName name="ExternalData_1" localSheetId="0" hidden="1">Data!$A$1:$F$37</definedName>
    <definedName name="Slicer_Month">#N/A</definedName>
    <definedName name="Slicer_Region">#N/A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Rüb 1" description="Connection to the 'Rüb 1' query in the workbook." type="5" refreshedVersion="8" background="1" saveData="1">
    <dbPr connection="Provider=Microsoft.Mashup.OleDb.1;Data Source=$Workbook$;Location=&quot;Rüb 1&quot;;Extended Properties=&quot;&quot;" command="SELECT * FROM [Rüb 1]"/>
  </connection>
  <connection id="2" xr16:uid="{00000000-0015-0000-FFFF-FFFF01000000}"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3" xr16:uid="{00000000-0015-0000-FFFF-FFFF02000000}" keepAlive="1" name="Query - Table2" description="Connection to the 'Table2' query in the workbook." type="5" refreshedVersion="0" background="1">
    <dbPr connection="Provider=Microsoft.Mashup.OleDb.1;Data Source=$Workbook$;Location=Table2;Extended Properties=&quot;&quot;" command="SELECT * FROM [Table2]"/>
  </connection>
  <connection id="4" xr16:uid="{00000000-0015-0000-FFFF-FFFF03000000}" keepAlive="1" name="Query - Table3" description="Connection to the 'Table3' query in the workbook." type="5" refreshedVersion="0" background="1">
    <dbPr connection="Provider=Microsoft.Mashup.OleDb.1;Data Source=$Workbook$;Location=Table3;Extended Properties=&quot;&quot;" command="SELECT * FROM [Table3]"/>
  </connection>
</connections>
</file>

<file path=xl/sharedStrings.xml><?xml version="1.0" encoding="utf-8"?>
<sst xmlns="http://schemas.openxmlformats.org/spreadsheetml/2006/main" count="185" uniqueCount="46">
  <si>
    <t>Region</t>
  </si>
  <si>
    <t>AZ-NMM1S-P</t>
  </si>
  <si>
    <t>AZ-NMM9S-R</t>
  </si>
  <si>
    <t>AZ-NBQ8S-P</t>
  </si>
  <si>
    <t>AZ-N4M6S-P</t>
  </si>
  <si>
    <t>AZ-N4M8S-P</t>
  </si>
  <si>
    <t>AZ-NBM6S-Q</t>
  </si>
  <si>
    <t>AZ-NMM6S-P</t>
  </si>
  <si>
    <t>AZ-NMM7S-Y</t>
  </si>
  <si>
    <t>AZ-NMM8S-P</t>
  </si>
  <si>
    <t>AZ-NMM9S-P</t>
  </si>
  <si>
    <t>AZ-NMM5S-P</t>
  </si>
  <si>
    <t>AZ-NMM2S-P</t>
  </si>
  <si>
    <t>NMM1S-P</t>
  </si>
  <si>
    <t>NMM9S-R</t>
  </si>
  <si>
    <t>NBQ8S-P</t>
  </si>
  <si>
    <t>N4M6S-P</t>
  </si>
  <si>
    <t>N4M8S-P</t>
  </si>
  <si>
    <t>NBM6S-Q</t>
  </si>
  <si>
    <t>NMM6S-P</t>
  </si>
  <si>
    <t>NMM7S-Y</t>
  </si>
  <si>
    <t>NMM8S-P</t>
  </si>
  <si>
    <t>NMM9S-P</t>
  </si>
  <si>
    <t>NMM5S-P</t>
  </si>
  <si>
    <t>NMM7S-K</t>
  </si>
  <si>
    <t>NMM2S-P</t>
  </si>
  <si>
    <t>Row Labels</t>
  </si>
  <si>
    <t>Grand Total</t>
  </si>
  <si>
    <t>Month</t>
  </si>
  <si>
    <t>Product</t>
  </si>
  <si>
    <t>Sale</t>
  </si>
  <si>
    <t>January</t>
  </si>
  <si>
    <t>February</t>
  </si>
  <si>
    <t>March</t>
  </si>
  <si>
    <t>Product 1</t>
  </si>
  <si>
    <t>Product 2</t>
  </si>
  <si>
    <t>Product 3</t>
  </si>
  <si>
    <t>Product 4</t>
  </si>
  <si>
    <t>North</t>
  </si>
  <si>
    <t>West</t>
  </si>
  <si>
    <t>East</t>
  </si>
  <si>
    <t>South</t>
  </si>
  <si>
    <t>Seller code</t>
  </si>
  <si>
    <t>Sum of Sale</t>
  </si>
  <si>
    <t>SALES ANALYSİS</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</si>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</sst>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0.00\ &quot;₼&quot;_-;\-* #,##0.00\ &quot;₼&quot;_-;_-* &quot;-&quot;??\ &quot;₼&quot;_-;_-@_-"/>
    <numFmt numFmtId="164" formatCode="_-[$$-409]* #,##0_ ;_-[$$-409]* \-#,##0\ ;_-[$$-409]* &quot;-&quot;??_ ;_-@_ "/>
  </numFmts>
  <fonts count="4" x14ac:knownFonts="1">
    <font>
      <sz val="11"/>
      <color theme="1"/>
      <name val="Calibri"/>
      <family val="2"/>
      <charset val="186"/>
      <scheme val="minor"/>
    </font>
    <font>
      <sz val="11"/>
      <color theme="1"/>
      <name val="Calibri"/>
      <family val="2"/>
      <charset val="204"/>
      <scheme val="minor"/>
    </font>
    <font>
      <sz val="8"/>
      <name val="Calibri"/>
      <family val="2"/>
      <charset val="186"/>
      <scheme val="minor"/>
    </font>
    <font>
      <b/>
      <sz val="18"/>
      <color rgb="FF7030A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44" fontId="1" fillId="0" borderId="0" applyFont="0" applyFill="0" applyBorder="0" applyAlignment="0" applyProtection="0"/>
  </cellStyleXfs>
  <cellXfs count="8">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center"/>
    </xf>
    <xf numFmtId="164" fontId="0" fillId="0" borderId="0" xfId="0" applyNumberFormat="1" applyAlignment="1">
      <alignment horizontal="center"/>
    </xf>
    <xf numFmtId="164" fontId="0" fillId="0" borderId="0" xfId="0" applyNumberFormat="1"/>
    <xf numFmtId="0" fontId="3" fillId="0" borderId="0" xfId="0" applyFont="1" applyAlignment="1">
      <alignment horizontal="left" indent="44"/>
    </xf>
  </cellXfs>
  <cellStyles count="3">
    <cellStyle name="Currency 2" xfId="2" xr:uid="{00000000-0005-0000-0000-000000000000}"/>
    <cellStyle name="Normal" xfId="0" builtinId="0"/>
    <cellStyle name="Normal 2" xfId="1" xr:uid="{00000000-0005-0000-0000-000002000000}"/>
  </cellStyles>
  <dxfs count="30">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[Report.xlsx]Pivot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z-Latn-AZ" b="1">
                <a:solidFill>
                  <a:srgbClr val="FF0000"/>
                </a:solidFill>
              </a:rPr>
              <a:t>Total Sales by months and regions</a:t>
            </a:r>
            <a:endParaRPr lang="en-US" b="1">
              <a:solidFill>
                <a:srgbClr val="FF0000"/>
              </a:solidFill>
            </a:endParaRPr>
          </a:p>
        </c:rich>
      </c:tx>
      <c:layout>
        <c:manualLayout>
          <c:xMode val="edge"/>
          <c:yMode val="edge"/>
          <c:x val="0.37709487970328359"/>
          <c:y val="3.23543205706979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50800" dist="50800" dir="5400000" algn="ctr" rotWithShape="0">
              <a:schemeClr val="accent2"/>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50800" dir="5400000" algn="ctr" rotWithShape="0">
              <a:schemeClr val="accent2"/>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table'!$A$3:$A$18</c:f>
              <c:multiLvlStrCache>
                <c:ptCount val="12"/>
                <c:lvl>
                  <c:pt idx="0">
                    <c:v>North</c:v>
                  </c:pt>
                  <c:pt idx="1">
                    <c:v>West</c:v>
                  </c:pt>
                  <c:pt idx="2">
                    <c:v>East</c:v>
                  </c:pt>
                  <c:pt idx="3">
                    <c:v>South</c:v>
                  </c:pt>
                  <c:pt idx="4">
                    <c:v>North</c:v>
                  </c:pt>
                  <c:pt idx="5">
                    <c:v>West</c:v>
                  </c:pt>
                  <c:pt idx="6">
                    <c:v>East</c:v>
                  </c:pt>
                  <c:pt idx="7">
                    <c:v>South</c:v>
                  </c:pt>
                  <c:pt idx="8">
                    <c:v>North</c:v>
                  </c:pt>
                  <c:pt idx="9">
                    <c:v>West</c:v>
                  </c:pt>
                  <c:pt idx="10">
                    <c:v>East</c:v>
                  </c:pt>
                  <c:pt idx="11">
                    <c:v>South</c:v>
                  </c:pt>
                </c:lvl>
                <c:lvl>
                  <c:pt idx="0">
                    <c:v>January</c:v>
                  </c:pt>
                  <c:pt idx="4">
                    <c:v>February</c:v>
                  </c:pt>
                  <c:pt idx="8">
                    <c:v>March</c:v>
                  </c:pt>
                </c:lvl>
              </c:multiLvlStrCache>
            </c:multiLvlStrRef>
          </c:cat>
          <c:val>
            <c:numRef>
              <c:f>'Pivot table'!$B$3:$B$18</c:f>
              <c:numCache>
                <c:formatCode>_-[$$-409]* #,##0_ ;_-[$$-409]* \-#,##0\ ;_-[$$-409]* "-"??_ ;_-@_ </c:formatCode>
                <c:ptCount val="12"/>
                <c:pt idx="0">
                  <c:v>820</c:v>
                </c:pt>
                <c:pt idx="1">
                  <c:v>644</c:v>
                </c:pt>
                <c:pt idx="2">
                  <c:v>817</c:v>
                </c:pt>
                <c:pt idx="3">
                  <c:v>414</c:v>
                </c:pt>
                <c:pt idx="4">
                  <c:v>813</c:v>
                </c:pt>
                <c:pt idx="5">
                  <c:v>649</c:v>
                </c:pt>
                <c:pt idx="6">
                  <c:v>643</c:v>
                </c:pt>
                <c:pt idx="7">
                  <c:v>743</c:v>
                </c:pt>
                <c:pt idx="8">
                  <c:v>811</c:v>
                </c:pt>
                <c:pt idx="9">
                  <c:v>839</c:v>
                </c:pt>
                <c:pt idx="10">
                  <c:v>755</c:v>
                </c:pt>
                <c:pt idx="11">
                  <c:v>849</c:v>
                </c:pt>
              </c:numCache>
            </c:numRef>
          </c:val>
          <c:extLst>
            <c:ext xmlns:c16="http://schemas.microsoft.com/office/drawing/2014/chart" uri="{C3380CC4-5D6E-409C-BE32-E72D297353CC}">
              <c16:uniqueId val="{00000002-07E3-42DF-9D01-7625A60963D0}"/>
            </c:ext>
          </c:extLst>
        </c:ser>
        <c:dLbls>
          <c:dLblPos val="outEnd"/>
          <c:showLegendKey val="0"/>
          <c:showVal val="1"/>
          <c:showCatName val="0"/>
          <c:showSerName val="0"/>
          <c:showPercent val="0"/>
          <c:showBubbleSize val="0"/>
        </c:dLbls>
        <c:gapWidth val="219"/>
        <c:overlap val="-27"/>
        <c:axId val="902541424"/>
        <c:axId val="902538144"/>
      </c:barChart>
      <c:catAx>
        <c:axId val="9025414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02538144"/>
        <c:crosses val="autoZero"/>
        <c:auto val="1"/>
        <c:lblAlgn val="ctr"/>
        <c:lblOffset val="100"/>
        <c:noMultiLvlLbl val="0"/>
      </c:catAx>
      <c:valAx>
        <c:axId val="902538144"/>
        <c:scaling>
          <c:orientation val="minMax"/>
        </c:scaling>
        <c:delete val="1"/>
        <c:axPos val="l"/>
        <c:numFmt formatCode="_-[$$-409]* #,##0_ ;_-[$$-409]* \-#,##0\ ;_-[$$-409]* &quot;-&quot;??_ ;_-@_ " sourceLinked="1"/>
        <c:majorTickMark val="out"/>
        <c:minorTickMark val="none"/>
        <c:tickLblPos val="nextTo"/>
        <c:crossAx val="902541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z-Latn-AZ" sz="1400" b="1" i="0" baseline="0">
                <a:solidFill>
                  <a:srgbClr val="FF0000"/>
                </a:solidFill>
                <a:effectLst/>
              </a:rPr>
              <a:t>Total Sales by </a:t>
            </a:r>
            <a:r>
              <a:rPr lang="en-US" sz="1400" b="1" i="0" baseline="0">
                <a:solidFill>
                  <a:srgbClr val="FF0000"/>
                </a:solidFill>
                <a:effectLst/>
              </a:rPr>
              <a:t>months</a:t>
            </a:r>
            <a:endParaRPr lang="en-US" sz="1100">
              <a:solidFill>
                <a:srgbClr val="FF0000"/>
              </a:solidFill>
              <a:effectLst/>
            </a:endParaRPr>
          </a:p>
        </c:rich>
      </c:tx>
      <c:layout>
        <c:manualLayout>
          <c:xMode val="edge"/>
          <c:yMode val="edge"/>
          <c:x val="0.3528040001987488"/>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table'!$K$2</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table'!$J$3:$J$6</c:f>
              <c:strCache>
                <c:ptCount val="3"/>
                <c:pt idx="0">
                  <c:v>January</c:v>
                </c:pt>
                <c:pt idx="1">
                  <c:v>February</c:v>
                </c:pt>
                <c:pt idx="2">
                  <c:v>March</c:v>
                </c:pt>
              </c:strCache>
            </c:strRef>
          </c:cat>
          <c:val>
            <c:numRef>
              <c:f>'Pivot table'!$K$3:$K$6</c:f>
              <c:numCache>
                <c:formatCode>_-[$$-409]* #,##0_ ;_-[$$-409]* \-#,##0\ ;_-[$$-409]* "-"??_ ;_-@_ </c:formatCode>
                <c:ptCount val="3"/>
                <c:pt idx="0">
                  <c:v>2695</c:v>
                </c:pt>
                <c:pt idx="1">
                  <c:v>2848</c:v>
                </c:pt>
                <c:pt idx="2">
                  <c:v>3254</c:v>
                </c:pt>
              </c:numCache>
            </c:numRef>
          </c:val>
          <c:extLst>
            <c:ext xmlns:c16="http://schemas.microsoft.com/office/drawing/2014/chart" uri="{C3380CC4-5D6E-409C-BE32-E72D297353CC}">
              <c16:uniqueId val="{00000000-24C4-4FFB-90C8-572B42C701C6}"/>
            </c:ext>
          </c:extLst>
        </c:ser>
        <c:dLbls>
          <c:showLegendKey val="0"/>
          <c:showVal val="1"/>
          <c:showCatName val="0"/>
          <c:showSerName val="0"/>
          <c:showPercent val="0"/>
          <c:showBubbleSize val="0"/>
        </c:dLbls>
        <c:gapWidth val="219"/>
        <c:overlap val="100"/>
        <c:axId val="903632224"/>
        <c:axId val="903626976"/>
      </c:barChart>
      <c:catAx>
        <c:axId val="903632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03626976"/>
        <c:crosses val="autoZero"/>
        <c:auto val="1"/>
        <c:lblAlgn val="ctr"/>
        <c:lblOffset val="100"/>
        <c:noMultiLvlLbl val="0"/>
      </c:catAx>
      <c:valAx>
        <c:axId val="903626976"/>
        <c:scaling>
          <c:orientation val="minMax"/>
        </c:scaling>
        <c:delete val="1"/>
        <c:axPos val="l"/>
        <c:numFmt formatCode="_-[$$-409]* #,##0_ ;_-[$$-409]* \-#,##0\ ;_-[$$-409]* &quot;-&quot;??_ ;_-@_ " sourceLinked="1"/>
        <c:majorTickMark val="none"/>
        <c:minorTickMark val="none"/>
        <c:tickLblPos val="nextTo"/>
        <c:crossAx val="903632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z-Latn-AZ" sz="1400" b="1" i="0" baseline="0">
                <a:solidFill>
                  <a:srgbClr val="FF0000"/>
                </a:solidFill>
                <a:effectLst/>
              </a:rPr>
              <a:t>Total Sales by </a:t>
            </a:r>
            <a:r>
              <a:rPr lang="en-US" sz="1400" b="1" i="0" baseline="0">
                <a:solidFill>
                  <a:srgbClr val="FF0000"/>
                </a:solidFill>
                <a:effectLst/>
              </a:rPr>
              <a:t>products</a:t>
            </a:r>
            <a:endParaRPr lang="en-US" sz="1400">
              <a:solidFill>
                <a:srgbClr val="FF0000"/>
              </a:solidFill>
              <a:effectLst/>
            </a:endParaRPr>
          </a:p>
        </c:rich>
      </c:tx>
      <c:layout>
        <c:manualLayout>
          <c:xMode val="edge"/>
          <c:yMode val="edge"/>
          <c:x val="0.29562237715462525"/>
          <c:y val="2.74672591712529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table'!$E$2</c:f>
              <c:strCache>
                <c:ptCount val="1"/>
                <c:pt idx="0">
                  <c:v>Total</c:v>
                </c:pt>
              </c:strCache>
            </c:strRef>
          </c:tx>
          <c:spPr>
            <a:solidFill>
              <a:schemeClr val="accent6"/>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table'!$D$3:$D$7</c:f>
              <c:strCache>
                <c:ptCount val="4"/>
                <c:pt idx="0">
                  <c:v>Product 1</c:v>
                </c:pt>
                <c:pt idx="1">
                  <c:v>Product 2</c:v>
                </c:pt>
                <c:pt idx="2">
                  <c:v>Product 3</c:v>
                </c:pt>
                <c:pt idx="3">
                  <c:v>Product 4</c:v>
                </c:pt>
              </c:strCache>
            </c:strRef>
          </c:cat>
          <c:val>
            <c:numRef>
              <c:f>'Pivot table'!$E$3:$E$7</c:f>
              <c:numCache>
                <c:formatCode>_-[$$-409]* #,##0_ ;_-[$$-409]* \-#,##0\ ;_-[$$-409]* "-"??_ ;_-@_ </c:formatCode>
                <c:ptCount val="4"/>
                <c:pt idx="0">
                  <c:v>2444</c:v>
                </c:pt>
                <c:pt idx="1">
                  <c:v>2132</c:v>
                </c:pt>
                <c:pt idx="2">
                  <c:v>2215</c:v>
                </c:pt>
                <c:pt idx="3">
                  <c:v>2006</c:v>
                </c:pt>
              </c:numCache>
            </c:numRef>
          </c:val>
          <c:extLst>
            <c:ext xmlns:c16="http://schemas.microsoft.com/office/drawing/2014/chart" uri="{C3380CC4-5D6E-409C-BE32-E72D297353CC}">
              <c16:uniqueId val="{00000000-7800-40A8-B988-54A2E4C6C6B1}"/>
            </c:ext>
          </c:extLst>
        </c:ser>
        <c:dLbls>
          <c:showLegendKey val="0"/>
          <c:showVal val="0"/>
          <c:showCatName val="0"/>
          <c:showSerName val="0"/>
          <c:showPercent val="0"/>
          <c:showBubbleSize val="0"/>
        </c:dLbls>
        <c:gapWidth val="150"/>
        <c:axId val="343308792"/>
        <c:axId val="433832488"/>
      </c:barChart>
      <c:valAx>
        <c:axId val="433832488"/>
        <c:scaling>
          <c:orientation val="minMax"/>
        </c:scaling>
        <c:delete val="1"/>
        <c:axPos val="b"/>
        <c:numFmt formatCode="_-[$$-409]* #,##0_ ;_-[$$-409]* \-#,##0\ ;_-[$$-409]* &quot;-&quot;??_ ;_-@_ " sourceLinked="1"/>
        <c:majorTickMark val="out"/>
        <c:minorTickMark val="none"/>
        <c:tickLblPos val="nextTo"/>
        <c:crossAx val="343308792"/>
        <c:crosses val="autoZero"/>
        <c:crossBetween val="between"/>
      </c:valAx>
      <c:catAx>
        <c:axId val="3433087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43383248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[Report.xlsx]Pivot table!PivotTable4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z-Latn-AZ" sz="1400" b="1" i="0" baseline="0">
                <a:solidFill>
                  <a:srgbClr val="FF0000"/>
                </a:solidFill>
                <a:effectLst/>
              </a:rPr>
              <a:t>Total Sales by Years</a:t>
            </a:r>
            <a:endParaRPr lang="en-US" sz="1100">
              <a:solidFill>
                <a:srgbClr val="FF0000"/>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table'!$H$2</c:f>
              <c:strCache>
                <c:ptCount val="1"/>
                <c:pt idx="0">
                  <c:v>Total</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table'!$G$3:$G$6</c:f>
              <c:strCache>
                <c:ptCount val="3"/>
                <c:pt idx="0">
                  <c:v>2020</c:v>
                </c:pt>
                <c:pt idx="1">
                  <c:v>2021</c:v>
                </c:pt>
                <c:pt idx="2">
                  <c:v>2022</c:v>
                </c:pt>
              </c:strCache>
            </c:strRef>
          </c:cat>
          <c:val>
            <c:numRef>
              <c:f>'Pivot table'!$H$3:$H$6</c:f>
              <c:numCache>
                <c:formatCode>_-[$$-409]* #,##0_ ;_-[$$-409]* \-#,##0\ ;_-[$$-409]* "-"??_ ;_-@_ </c:formatCode>
                <c:ptCount val="3"/>
                <c:pt idx="0">
                  <c:v>3397</c:v>
                </c:pt>
                <c:pt idx="1">
                  <c:v>3188</c:v>
                </c:pt>
                <c:pt idx="2">
                  <c:v>2212</c:v>
                </c:pt>
              </c:numCache>
            </c:numRef>
          </c:val>
          <c:smooth val="0"/>
          <c:extLst>
            <c:ext xmlns:c16="http://schemas.microsoft.com/office/drawing/2014/chart" uri="{C3380CC4-5D6E-409C-BE32-E72D297353CC}">
              <c16:uniqueId val="{00000000-90E6-4C00-B56D-562A496591B3}"/>
            </c:ext>
          </c:extLst>
        </c:ser>
        <c:dLbls>
          <c:dLblPos val="ctr"/>
          <c:showLegendKey val="0"/>
          <c:showVal val="1"/>
          <c:showCatName val="0"/>
          <c:showSerName val="0"/>
          <c:showPercent val="0"/>
          <c:showBubbleSize val="0"/>
        </c:dLbls>
        <c:smooth val="0"/>
        <c:axId val="1012073400"/>
        <c:axId val="1012071600"/>
      </c:lineChart>
      <c:catAx>
        <c:axId val="1012073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FF0000"/>
                </a:solidFill>
                <a:latin typeface="+mn-lt"/>
                <a:ea typeface="+mn-ea"/>
                <a:cs typeface="+mn-cs"/>
              </a:defRPr>
            </a:pPr>
            <a:endParaRPr lang="en-US"/>
          </a:p>
        </c:txPr>
        <c:crossAx val="1012071600"/>
        <c:crosses val="autoZero"/>
        <c:auto val="1"/>
        <c:lblAlgn val="ctr"/>
        <c:lblOffset val="100"/>
        <c:noMultiLvlLbl val="0"/>
      </c:catAx>
      <c:valAx>
        <c:axId val="1012071600"/>
        <c:scaling>
          <c:orientation val="minMax"/>
        </c:scaling>
        <c:delete val="1"/>
        <c:axPos val="l"/>
        <c:numFmt formatCode="_-[$$-409]* #,##0_ ;_-[$$-409]* \-#,##0\ ;_-[$$-409]* &quot;-&quot;??_ ;_-@_ " sourceLinked="1"/>
        <c:majorTickMark val="none"/>
        <c:minorTickMark val="none"/>
        <c:tickLblPos val="nextTo"/>
        <c:crossAx val="1012073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177209</xdr:rowOff>
    </xdr:from>
    <xdr:to>
      <xdr:col>10</xdr:col>
      <xdr:colOff>64430</xdr:colOff>
      <xdr:row>18</xdr:row>
      <xdr:rowOff>128587</xdr:rowOff>
    </xdr:to>
    <xdr:graphicFrame macro="">
      <xdr:nvGraphicFramePr>
        <xdr:cNvPr id="2" name="Chart 1">
          <a:extLst>
            <a:ext uri="{FF2B5EF4-FFF2-40B4-BE49-F238E27FC236}">
              <a16:creationId xmlns:a16="http://schemas.microsoft.com/office/drawing/2014/main" id="{3E8F7916-1A33-41E5-8D77-DDAEA90BD9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11076</xdr:colOff>
      <xdr:row>20</xdr:row>
      <xdr:rowOff>0</xdr:rowOff>
    </xdr:from>
    <xdr:to>
      <xdr:col>10</xdr:col>
      <xdr:colOff>20601</xdr:colOff>
      <xdr:row>33</xdr:row>
      <xdr:rowOff>123604</xdr:rowOff>
    </xdr:to>
    <xdr:graphicFrame macro="">
      <xdr:nvGraphicFramePr>
        <xdr:cNvPr id="3" name="Chart 2">
          <a:extLst>
            <a:ext uri="{FF2B5EF4-FFF2-40B4-BE49-F238E27FC236}">
              <a16:creationId xmlns:a16="http://schemas.microsoft.com/office/drawing/2014/main" id="{F020673B-4090-4479-B0CB-1E5749FAA5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11076</xdr:colOff>
      <xdr:row>4</xdr:row>
      <xdr:rowOff>33227</xdr:rowOff>
    </xdr:from>
    <xdr:to>
      <xdr:col>18</xdr:col>
      <xdr:colOff>0</xdr:colOff>
      <xdr:row>18</xdr:row>
      <xdr:rowOff>140439</xdr:rowOff>
    </xdr:to>
    <xdr:graphicFrame macro="">
      <xdr:nvGraphicFramePr>
        <xdr:cNvPr id="7" name="Chart 6">
          <a:extLst>
            <a:ext uri="{FF2B5EF4-FFF2-40B4-BE49-F238E27FC236}">
              <a16:creationId xmlns:a16="http://schemas.microsoft.com/office/drawing/2014/main" id="{4C63D4F6-347A-47E2-A262-F752949199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436563</xdr:colOff>
      <xdr:row>20</xdr:row>
      <xdr:rowOff>63845</xdr:rowOff>
    </xdr:from>
    <xdr:to>
      <xdr:col>18</xdr:col>
      <xdr:colOff>166688</xdr:colOff>
      <xdr:row>32</xdr:row>
      <xdr:rowOff>69022</xdr:rowOff>
    </xdr:to>
    <xdr:graphicFrame macro="">
      <xdr:nvGraphicFramePr>
        <xdr:cNvPr id="10" name="Chart 9">
          <a:extLst>
            <a:ext uri="{FF2B5EF4-FFF2-40B4-BE49-F238E27FC236}">
              <a16:creationId xmlns:a16="http://schemas.microsoft.com/office/drawing/2014/main" id="{E00D9391-F7A0-47B8-ADA3-B22430019B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147374</xdr:colOff>
      <xdr:row>4</xdr:row>
      <xdr:rowOff>157446</xdr:rowOff>
    </xdr:from>
    <xdr:to>
      <xdr:col>22</xdr:col>
      <xdr:colOff>132625</xdr:colOff>
      <xdr:row>11</xdr:row>
      <xdr:rowOff>55441</xdr:rowOff>
    </xdr:to>
    <mc:AlternateContent xmlns:mc="http://schemas.openxmlformats.org/markup-compatibility/2006" xmlns:a14="http://schemas.microsoft.com/office/drawing/2010/main">
      <mc:Choice Requires="a14">
        <xdr:graphicFrame macro="">
          <xdr:nvGraphicFramePr>
            <xdr:cNvPr id="11" name="Year">
              <a:extLst>
                <a:ext uri="{FF2B5EF4-FFF2-40B4-BE49-F238E27FC236}">
                  <a16:creationId xmlns:a16="http://schemas.microsoft.com/office/drawing/2014/main" id="{A7937F66-20E7-A35B-18F0-B14FBE10966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010329" y="1023355"/>
              <a:ext cx="1803660" cy="12314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200992</xdr:colOff>
      <xdr:row>13</xdr:row>
      <xdr:rowOff>12702</xdr:rowOff>
    </xdr:from>
    <xdr:to>
      <xdr:col>22</xdr:col>
      <xdr:colOff>207618</xdr:colOff>
      <xdr:row>19</xdr:row>
      <xdr:rowOff>41415</xdr:rowOff>
    </xdr:to>
    <mc:AlternateContent xmlns:mc="http://schemas.openxmlformats.org/markup-compatibility/2006" xmlns:a14="http://schemas.microsoft.com/office/drawing/2010/main">
      <mc:Choice Requires="a14">
        <xdr:graphicFrame macro="">
          <xdr:nvGraphicFramePr>
            <xdr:cNvPr id="12" name="Month">
              <a:extLst>
                <a:ext uri="{FF2B5EF4-FFF2-40B4-BE49-F238E27FC236}">
                  <a16:creationId xmlns:a16="http://schemas.microsoft.com/office/drawing/2014/main" id="{D69BE0F4-5335-DE43-4288-F76C7A13C14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063947" y="2593111"/>
              <a:ext cx="1825035" cy="11717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104360</xdr:colOff>
      <xdr:row>8</xdr:row>
      <xdr:rowOff>29405</xdr:rowOff>
    </xdr:from>
    <xdr:to>
      <xdr:col>26</xdr:col>
      <xdr:colOff>110986</xdr:colOff>
      <xdr:row>15</xdr:row>
      <xdr:rowOff>94205</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4B9B7A74-5BA7-F838-AA35-9EDAB71464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391860" y="1657314"/>
              <a:ext cx="1825035" cy="1398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ir" refreshedDate="45006.649527662034" createdVersion="6" refreshedVersion="8" minRefreshableVersion="3" recordCount="36" xr:uid="{00000000-000A-0000-FFFF-FFFF00000000}">
  <cacheSource type="worksheet">
    <worksheetSource name="Rüb_1"/>
  </cacheSource>
  <cacheFields count="6">
    <cacheField name="Seller code" numFmtId="0">
      <sharedItems/>
    </cacheField>
    <cacheField name="Year" numFmtId="0">
      <sharedItems containsSemiMixedTypes="0" containsString="0" containsNumber="1" containsInteger="1" minValue="2020" maxValue="2022" count="3">
        <n v="2020"/>
        <n v="2021"/>
        <n v="2022"/>
      </sharedItems>
    </cacheField>
    <cacheField name="Month" numFmtId="0">
      <sharedItems count="3">
        <s v="January"/>
        <s v="February"/>
        <s v="March"/>
      </sharedItems>
    </cacheField>
    <cacheField name="Product" numFmtId="0">
      <sharedItems count="36">
        <s v="Product 1"/>
        <s v="Product 2"/>
        <s v="Product 3"/>
        <s v="Product 4"/>
        <s v="Product 22" u="1"/>
        <s v="Product 36" u="1"/>
        <s v="Product 23" u="1"/>
        <s v="Product 10" u="1"/>
        <s v="Product 24" u="1"/>
        <s v="Product 7" u="1"/>
        <s v="Product 11" u="1"/>
        <s v="Product 25" u="1"/>
        <s v="Product 12" u="1"/>
        <s v="Product 26" u="1"/>
        <s v="Product 13" u="1"/>
        <s v="Product 27" u="1"/>
        <s v="Product 14" u="1"/>
        <s v="Product 28" u="1"/>
        <s v="Product 6" u="1"/>
        <s v="Product 30" u="1"/>
        <s v="Product 15" u="1"/>
        <s v="Product 9" u="1"/>
        <s v="Product 29" u="1"/>
        <s v="Product 31" u="1"/>
        <s v="Product 16" u="1"/>
        <s v="Product 32" u="1"/>
        <s v="Product 17" u="1"/>
        <s v="Product 33" u="1"/>
        <s v="Product 18" u="1"/>
        <s v="Product 5" u="1"/>
        <s v="Product 20" u="1"/>
        <s v="Product 34" u="1"/>
        <s v="Product 8" u="1"/>
        <s v="Product 19" u="1"/>
        <s v="Product 21" u="1"/>
        <s v="Product 35" u="1"/>
      </sharedItems>
    </cacheField>
    <cacheField name="Region" numFmtId="0">
      <sharedItems count="8">
        <s v="North"/>
        <s v="West"/>
        <s v="East"/>
        <s v="South"/>
        <s v="Qərb" u="1"/>
        <s v="Simal" u="1"/>
        <s v="Şərq" u="1"/>
        <s v="Cənub" u="1"/>
      </sharedItems>
    </cacheField>
    <cacheField name="Sale" numFmtId="164">
      <sharedItems containsSemiMixedTypes="0" containsString="0" containsNumber="1" containsInteger="1" minValue="114" maxValue="398"/>
    </cacheField>
  </cacheFields>
  <extLst>
    <ext xmlns:x14="http://schemas.microsoft.com/office/spreadsheetml/2009/9/main" uri="{725AE2AE-9491-48be-B2B4-4EB974FC3084}">
      <x14:pivotCacheDefinition pivotCacheId="12026134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s v="NMM1S-P"/>
    <x v="0"/>
    <x v="0"/>
    <x v="0"/>
    <x v="0"/>
    <n v="365"/>
  </r>
  <r>
    <s v="NMM9S-R"/>
    <x v="1"/>
    <x v="0"/>
    <x v="1"/>
    <x v="1"/>
    <n v="132"/>
  </r>
  <r>
    <s v="NMM1S-P"/>
    <x v="2"/>
    <x v="0"/>
    <x v="2"/>
    <x v="2"/>
    <n v="204"/>
  </r>
  <r>
    <s v="NBQ8S-P"/>
    <x v="0"/>
    <x v="0"/>
    <x v="3"/>
    <x v="3"/>
    <n v="136"/>
  </r>
  <r>
    <s v="N4M6S-P"/>
    <x v="1"/>
    <x v="0"/>
    <x v="0"/>
    <x v="0"/>
    <n v="341"/>
  </r>
  <r>
    <s v="N4M8S-P"/>
    <x v="2"/>
    <x v="0"/>
    <x v="1"/>
    <x v="1"/>
    <n v="114"/>
  </r>
  <r>
    <s v="NBM6S-Q"/>
    <x v="0"/>
    <x v="0"/>
    <x v="2"/>
    <x v="2"/>
    <n v="276"/>
  </r>
  <r>
    <s v="N4M6S-P"/>
    <x v="1"/>
    <x v="0"/>
    <x v="3"/>
    <x v="3"/>
    <n v="119"/>
  </r>
  <r>
    <s v="NMM7S-Y"/>
    <x v="2"/>
    <x v="0"/>
    <x v="0"/>
    <x v="0"/>
    <n v="114"/>
  </r>
  <r>
    <s v="NMM8S-P"/>
    <x v="0"/>
    <x v="0"/>
    <x v="1"/>
    <x v="1"/>
    <n v="398"/>
  </r>
  <r>
    <s v="NMM5S-P"/>
    <x v="1"/>
    <x v="0"/>
    <x v="2"/>
    <x v="2"/>
    <n v="337"/>
  </r>
  <r>
    <s v="NMM2S-P"/>
    <x v="2"/>
    <x v="0"/>
    <x v="3"/>
    <x v="3"/>
    <n v="159"/>
  </r>
  <r>
    <s v="NMM1S-P"/>
    <x v="0"/>
    <x v="1"/>
    <x v="0"/>
    <x v="0"/>
    <n v="396"/>
  </r>
  <r>
    <s v="NMM9S-R"/>
    <x v="1"/>
    <x v="1"/>
    <x v="1"/>
    <x v="1"/>
    <n v="220"/>
  </r>
  <r>
    <s v="NMM1S-P"/>
    <x v="2"/>
    <x v="1"/>
    <x v="2"/>
    <x v="2"/>
    <n v="128"/>
  </r>
  <r>
    <s v="NBQ8S-P"/>
    <x v="0"/>
    <x v="1"/>
    <x v="3"/>
    <x v="3"/>
    <n v="393"/>
  </r>
  <r>
    <s v="N4M6S-P"/>
    <x v="1"/>
    <x v="1"/>
    <x v="0"/>
    <x v="0"/>
    <n v="256"/>
  </r>
  <r>
    <s v="N4M8S-P"/>
    <x v="2"/>
    <x v="1"/>
    <x v="1"/>
    <x v="1"/>
    <n v="116"/>
  </r>
  <r>
    <s v="N4M6S-P"/>
    <x v="0"/>
    <x v="1"/>
    <x v="2"/>
    <x v="2"/>
    <n v="170"/>
  </r>
  <r>
    <s v="NMM6S-P"/>
    <x v="1"/>
    <x v="1"/>
    <x v="3"/>
    <x v="3"/>
    <n v="350"/>
  </r>
  <r>
    <s v="NMM9S-P"/>
    <x v="2"/>
    <x v="1"/>
    <x v="0"/>
    <x v="0"/>
    <n v="161"/>
  </r>
  <r>
    <s v="NMM7S-K"/>
    <x v="0"/>
    <x v="1"/>
    <x v="1"/>
    <x v="1"/>
    <n v="313"/>
  </r>
  <r>
    <s v="NMM2S-P"/>
    <x v="1"/>
    <x v="1"/>
    <x v="2"/>
    <x v="2"/>
    <n v="345"/>
  </r>
  <r>
    <s v="AZ-NMM1S-P"/>
    <x v="2"/>
    <x v="2"/>
    <x v="3"/>
    <x v="3"/>
    <n v="176"/>
  </r>
  <r>
    <s v="AZ-NMM9S-R"/>
    <x v="0"/>
    <x v="2"/>
    <x v="0"/>
    <x v="0"/>
    <n v="301"/>
  </r>
  <r>
    <s v="AZ-NMM1S-P"/>
    <x v="1"/>
    <x v="2"/>
    <x v="1"/>
    <x v="1"/>
    <n v="318"/>
  </r>
  <r>
    <s v="AZ-NBQ8S-P"/>
    <x v="2"/>
    <x v="2"/>
    <x v="2"/>
    <x v="2"/>
    <n v="275"/>
  </r>
  <r>
    <s v="AZ-N4M6S-P"/>
    <x v="0"/>
    <x v="2"/>
    <x v="3"/>
    <x v="3"/>
    <n v="133"/>
  </r>
  <r>
    <s v="AZ-N4M8S-P"/>
    <x v="1"/>
    <x v="2"/>
    <x v="0"/>
    <x v="0"/>
    <n v="332"/>
  </r>
  <r>
    <s v="AZ-NBM6S-Q"/>
    <x v="2"/>
    <x v="2"/>
    <x v="1"/>
    <x v="1"/>
    <n v="260"/>
  </r>
  <r>
    <s v="AZ-NMM6S-P"/>
    <x v="0"/>
    <x v="2"/>
    <x v="2"/>
    <x v="2"/>
    <n v="255"/>
  </r>
  <r>
    <s v="AZ-NMM7S-Y"/>
    <x v="1"/>
    <x v="2"/>
    <x v="3"/>
    <x v="3"/>
    <n v="213"/>
  </r>
  <r>
    <s v="AZ-NMM8S-P"/>
    <x v="2"/>
    <x v="2"/>
    <x v="0"/>
    <x v="0"/>
    <n v="178"/>
  </r>
  <r>
    <s v="AZ-NMM9S-P"/>
    <x v="0"/>
    <x v="2"/>
    <x v="1"/>
    <x v="1"/>
    <n v="261"/>
  </r>
  <r>
    <s v="AZ-NMM5S-P"/>
    <x v="1"/>
    <x v="2"/>
    <x v="2"/>
    <x v="2"/>
    <n v="225"/>
  </r>
  <r>
    <s v="AZ-NMM2S-P"/>
    <x v="2"/>
    <x v="2"/>
    <x v="3"/>
    <x v="3"/>
    <n v="3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3"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
  <location ref="J2:K6" firstHeaderRow="1" firstDataRow="1" firstDataCol="1"/>
  <pivotFields count="6">
    <pivotField showAll="0"/>
    <pivotField showAll="0">
      <items count="4">
        <item x="0"/>
        <item x="1"/>
        <item x="2"/>
        <item t="default"/>
      </items>
    </pivotField>
    <pivotField axis="axisRow" showAll="0">
      <items count="4">
        <item x="0"/>
        <item x="1"/>
        <item x="2"/>
        <item t="default"/>
      </items>
    </pivotField>
    <pivotField showAll="0"/>
    <pivotField showAll="0">
      <items count="9">
        <item m="1" x="7"/>
        <item x="2"/>
        <item m="1" x="4"/>
        <item x="0"/>
        <item m="1" x="5"/>
        <item x="3"/>
        <item m="1" x="6"/>
        <item x="1"/>
        <item t="default"/>
      </items>
    </pivotField>
    <pivotField dataField="1" numFmtId="164" showAll="0"/>
  </pivotFields>
  <rowFields count="1">
    <field x="2"/>
  </rowFields>
  <rowItems count="4">
    <i>
      <x/>
    </i>
    <i>
      <x v="1"/>
    </i>
    <i>
      <x v="2"/>
    </i>
    <i t="grand">
      <x/>
    </i>
  </rowItems>
  <colItems count="1">
    <i/>
  </colItems>
  <dataFields count="1">
    <dataField name="Sum of Sale" fld="5" baseField="0" baseItem="0" numFmtId="164"/>
  </dataFields>
  <formats count="1">
    <format dxfId="18">
      <pivotArea outline="0" collapsedLevelsAreSubtotals="1" fieldPosition="0"/>
    </format>
  </formats>
  <chartFormats count="1">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
  <location ref="A2:B18" firstHeaderRow="1" firstDataRow="1" firstDataCol="1"/>
  <pivotFields count="6">
    <pivotField showAll="0"/>
    <pivotField showAll="0">
      <items count="4">
        <item x="0"/>
        <item x="1"/>
        <item x="2"/>
        <item t="default"/>
      </items>
    </pivotField>
    <pivotField axis="axisRow" showAll="0">
      <items count="4">
        <item x="0"/>
        <item x="1"/>
        <item x="2"/>
        <item t="default"/>
      </items>
    </pivotField>
    <pivotField showAll="0"/>
    <pivotField axis="axisRow" showAll="0">
      <items count="9">
        <item m="1" x="7"/>
        <item m="1" x="4"/>
        <item m="1" x="6"/>
        <item m="1" x="5"/>
        <item x="0"/>
        <item x="1"/>
        <item x="2"/>
        <item x="3"/>
        <item t="default"/>
      </items>
    </pivotField>
    <pivotField dataField="1" numFmtId="164" showAll="0"/>
  </pivotFields>
  <rowFields count="2">
    <field x="2"/>
    <field x="4"/>
  </rowFields>
  <rowItems count="16">
    <i>
      <x/>
    </i>
    <i r="1">
      <x v="4"/>
    </i>
    <i r="1">
      <x v="5"/>
    </i>
    <i r="1">
      <x v="6"/>
    </i>
    <i r="1">
      <x v="7"/>
    </i>
    <i>
      <x v="1"/>
    </i>
    <i r="1">
      <x v="4"/>
    </i>
    <i r="1">
      <x v="5"/>
    </i>
    <i r="1">
      <x v="6"/>
    </i>
    <i r="1">
      <x v="7"/>
    </i>
    <i>
      <x v="2"/>
    </i>
    <i r="1">
      <x v="4"/>
    </i>
    <i r="1">
      <x v="5"/>
    </i>
    <i r="1">
      <x v="6"/>
    </i>
    <i r="1">
      <x v="7"/>
    </i>
    <i t="grand">
      <x/>
    </i>
  </rowItems>
  <colItems count="1">
    <i/>
  </colItems>
  <dataFields count="1">
    <dataField name="Sum of Sale" fld="5" baseField="0" baseItem="0" numFmtId="164"/>
  </dataFields>
  <formats count="1">
    <format dxfId="19">
      <pivotArea outline="0" collapsedLevelsAreSubtotals="1" fieldPosition="0"/>
    </format>
  </formats>
  <chartFormats count="1">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3A3B57-9528-46BF-8921-774AFD714772}" name="PivotTable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7">
  <location ref="G2:H6" firstHeaderRow="1" firstDataRow="1" firstDataCol="1"/>
  <pivotFields count="6">
    <pivotField showAll="0"/>
    <pivotField axis="axisRow" showAll="0">
      <items count="4">
        <item x="0"/>
        <item x="1"/>
        <item x="2"/>
        <item t="default"/>
      </items>
    </pivotField>
    <pivotField showAll="0"/>
    <pivotField showAll="0">
      <items count="37">
        <item x="0"/>
        <item m="1" x="7"/>
        <item m="1" x="10"/>
        <item m="1" x="12"/>
        <item m="1" x="14"/>
        <item m="1" x="16"/>
        <item m="1" x="20"/>
        <item m="1" x="24"/>
        <item m="1" x="26"/>
        <item m="1" x="28"/>
        <item m="1" x="33"/>
        <item x="1"/>
        <item m="1" x="30"/>
        <item m="1" x="34"/>
        <item m="1" x="4"/>
        <item m="1" x="6"/>
        <item m="1" x="8"/>
        <item m="1" x="11"/>
        <item m="1" x="13"/>
        <item m="1" x="15"/>
        <item m="1" x="17"/>
        <item m="1" x="22"/>
        <item x="2"/>
        <item m="1" x="19"/>
        <item m="1" x="23"/>
        <item m="1" x="25"/>
        <item m="1" x="27"/>
        <item m="1" x="31"/>
        <item m="1" x="35"/>
        <item m="1" x="5"/>
        <item x="3"/>
        <item m="1" x="29"/>
        <item m="1" x="18"/>
        <item m="1" x="9"/>
        <item m="1" x="32"/>
        <item m="1" x="21"/>
        <item t="default"/>
      </items>
    </pivotField>
    <pivotField showAll="0">
      <items count="9">
        <item m="1" x="7"/>
        <item x="2"/>
        <item m="1" x="4"/>
        <item x="0"/>
        <item m="1" x="5"/>
        <item x="3"/>
        <item m="1" x="6"/>
        <item x="1"/>
        <item t="default"/>
      </items>
    </pivotField>
    <pivotField dataField="1" numFmtId="164" showAll="0"/>
  </pivotFields>
  <rowFields count="1">
    <field x="1"/>
  </rowFields>
  <rowItems count="4">
    <i>
      <x/>
    </i>
    <i>
      <x v="1"/>
    </i>
    <i>
      <x v="2"/>
    </i>
    <i t="grand">
      <x/>
    </i>
  </rowItems>
  <colItems count="1">
    <i/>
  </colItems>
  <dataFields count="1">
    <dataField name="Sum of Sale" fld="5" baseField="0" baseItem="2974" numFmtId="164"/>
  </dataFields>
  <formats count="1">
    <format dxfId="20">
      <pivotArea outline="0" collapsedLevelsAreSubtotals="1" fieldPosition="0"/>
    </format>
  </formats>
  <chartFormats count="3">
    <chartFormat chart="0" format="3"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65C91D-7D95-4A0D-AE54-6CE8E4CABEE5}"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4">
  <location ref="D2:E7" firstHeaderRow="1" firstDataRow="1" firstDataCol="1"/>
  <pivotFields count="6">
    <pivotField showAll="0"/>
    <pivotField showAll="0">
      <items count="4">
        <item x="0"/>
        <item x="1"/>
        <item x="2"/>
        <item t="default"/>
      </items>
    </pivotField>
    <pivotField showAll="0">
      <items count="4">
        <item x="0"/>
        <item x="1"/>
        <item x="2"/>
        <item t="default"/>
      </items>
    </pivotField>
    <pivotField axis="axisRow" showAll="0">
      <items count="37">
        <item x="0"/>
        <item m="1" x="7"/>
        <item m="1" x="10"/>
        <item m="1" x="12"/>
        <item m="1" x="14"/>
        <item m="1" x="16"/>
        <item m="1" x="20"/>
        <item m="1" x="24"/>
        <item m="1" x="26"/>
        <item m="1" x="28"/>
        <item m="1" x="33"/>
        <item x="1"/>
        <item m="1" x="30"/>
        <item m="1" x="34"/>
        <item m="1" x="4"/>
        <item m="1" x="6"/>
        <item m="1" x="8"/>
        <item m="1" x="11"/>
        <item m="1" x="13"/>
        <item m="1" x="15"/>
        <item m="1" x="17"/>
        <item m="1" x="22"/>
        <item x="2"/>
        <item m="1" x="19"/>
        <item m="1" x="23"/>
        <item m="1" x="25"/>
        <item m="1" x="27"/>
        <item m="1" x="31"/>
        <item m="1" x="35"/>
        <item m="1" x="5"/>
        <item x="3"/>
        <item m="1" x="29"/>
        <item m="1" x="18"/>
        <item m="1" x="9"/>
        <item m="1" x="32"/>
        <item m="1" x="21"/>
        <item t="default"/>
      </items>
    </pivotField>
    <pivotField showAll="0">
      <items count="9">
        <item m="1" x="7"/>
        <item x="2"/>
        <item m="1" x="4"/>
        <item x="0"/>
        <item m="1" x="5"/>
        <item x="3"/>
        <item m="1" x="6"/>
        <item x="1"/>
        <item t="default"/>
      </items>
    </pivotField>
    <pivotField dataField="1" numFmtId="164" showAll="0"/>
  </pivotFields>
  <rowFields count="1">
    <field x="3"/>
  </rowFields>
  <rowItems count="5">
    <i>
      <x/>
    </i>
    <i>
      <x v="11"/>
    </i>
    <i>
      <x v="22"/>
    </i>
    <i>
      <x v="30"/>
    </i>
    <i t="grand">
      <x/>
    </i>
  </rowItems>
  <colItems count="1">
    <i/>
  </colItems>
  <dataFields count="1">
    <dataField name="Sum of Sale" fld="5" baseField="0" baseItem="0" numFmtId="164"/>
  </dataFields>
  <formats count="1">
    <format dxfId="21">
      <pivotArea outline="0" collapsedLevelsAreSubtotals="1" fieldPosition="0"/>
    </format>
  </formats>
  <chartFormats count="2">
    <chartFormat chart="0" format="3"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100-000000000000}" autoFormatId="16" applyNumberFormats="0" applyBorderFormats="0" applyFontFormats="0" applyPatternFormats="0" applyAlignmentFormats="0" applyWidthHeightFormats="0">
  <queryTableRefresh nextId="7">
    <queryTableFields count="6">
      <queryTableField id="1" name="Satıcı kod" tableColumnId="1"/>
      <queryTableField id="6" dataBound="0" tableColumnId="6"/>
      <queryTableField id="2" name="Ay" tableColumnId="2"/>
      <queryTableField id="3" name="Məhsul" tableColumnId="3"/>
      <queryTableField id="4" name="Region" tableColumnId="4"/>
      <queryTableField id="5" name="Satış"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69E9851-4CBF-482D-A6F5-4836BD0EB76C}" sourceName="Year">
  <pivotTables>
    <pivotTable tabId="7" name="PivotTable1"/>
    <pivotTable tabId="7" name="PivotTable2"/>
    <pivotTable tabId="7" name="PivotTable3"/>
    <pivotTable tabId="7" name="PivotTable4"/>
  </pivotTables>
  <data>
    <tabular pivotCacheId="120261346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AF2459A-672D-4488-B935-90C994E037EA}" sourceName="Month">
  <pivotTables>
    <pivotTable tabId="7" name="PivotTable1"/>
  </pivotTables>
  <data>
    <tabular pivotCacheId="1202613467">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6B6A9AC-F89F-4BA7-957D-11CC8CB8FC2E}" sourceName="Region">
  <pivotTables>
    <pivotTable tabId="7" name="PivotTable1"/>
    <pivotTable tabId="7" name="PivotTable2"/>
    <pivotTable tabId="7" name="PivotTable3"/>
    <pivotTable tabId="7" name="PivotTable4"/>
  </pivotTables>
  <data>
    <tabular pivotCacheId="1202613467">
      <items count="8">
        <i x="2" s="1"/>
        <i x="0" s="1"/>
        <i x="3" s="1"/>
        <i x="1" s="1"/>
        <i x="7" s="1" nd="1"/>
        <i x="4" s="1" nd="1"/>
        <i x="5" s="1" nd="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8C49484-8986-4A2C-A3ED-494C8E353484}" cache="Slicer_Year" caption="Year" style="SlicerStyleLight6" rowHeight="241300"/>
  <slicer name="Month" xr10:uid="{C84851F8-C001-447C-A7C5-E016D227C9C7}" cache="Slicer_Month" caption="Month" style="SlicerStyleLight3" rowHeight="241300"/>
  <slicer name="Region" xr10:uid="{46AF1CB3-79AD-43C9-964F-024504EDD7F7}" cache="Slicer_Region" caption="Region" style="SlicerStyleLight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üb_1" displayName="Rüb_1" ref="A1:F37" tableType="queryTable" totalsRowShown="0" headerRowDxfId="29" dataDxfId="28">
  <autoFilter ref="A1:F37" xr:uid="{00000000-0009-0000-0100-000004000000}"/>
  <tableColumns count="6">
    <tableColumn id="1" xr3:uid="{00000000-0010-0000-0300-000001000000}" uniqueName="1" name="Seller code" queryTableFieldId="1" dataDxfId="27"/>
    <tableColumn id="6" xr3:uid="{344F3504-4D17-428C-A8EF-5FBCD2AEC4C1}" uniqueName="6" name="Year" queryTableFieldId="6" dataDxfId="26"/>
    <tableColumn id="2" xr3:uid="{00000000-0010-0000-0300-000002000000}" uniqueName="2" name="Month" queryTableFieldId="2" dataDxfId="25"/>
    <tableColumn id="3" xr3:uid="{00000000-0010-0000-0300-000003000000}" uniqueName="3" name="Product" queryTableFieldId="3" dataDxfId="24"/>
    <tableColumn id="4" xr3:uid="{00000000-0010-0000-0300-000004000000}" uniqueName="4" name="Region" queryTableFieldId="4" dataDxfId="23"/>
    <tableColumn id="5" xr3:uid="{00000000-0010-0000-0300-000005000000}" uniqueName="5" name="Sale" queryTableFieldId="5" dataDxfId="22"/>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51B1F-5F6C-46C9-AED1-FD9870442A04}">
  <dimension ref="A1:F37"/>
  <sheetViews>
    <sheetView showGridLines="0" workbookViewId="0">
      <selection activeCell="F4" sqref="F4"/>
    </sheetView>
  </sheetViews>
  <sheetFormatPr defaultRowHeight="15" x14ac:dyDescent="0.25"/>
  <cols>
    <col min="1" max="6" width="14.140625" customWidth="1"/>
  </cols>
  <sheetData>
    <row r="1" spans="1:6" x14ac:dyDescent="0.25">
      <c r="A1" s="4" t="s">
        <v>42</v>
      </c>
      <c r="B1" s="4" t="s">
        <v>45</v>
      </c>
      <c r="C1" s="4" t="s">
        <v>28</v>
      </c>
      <c r="D1" s="4" t="s">
        <v>29</v>
      </c>
      <c r="E1" s="4" t="s">
        <v>0</v>
      </c>
      <c r="F1" s="4" t="s">
        <v>30</v>
      </c>
    </row>
    <row r="2" spans="1:6" x14ac:dyDescent="0.25">
      <c r="A2" s="4" t="s">
        <v>13</v>
      </c>
      <c r="B2" s="4">
        <v>2020</v>
      </c>
      <c r="C2" s="4" t="s">
        <v>31</v>
      </c>
      <c r="D2" s="4" t="s">
        <v>34</v>
      </c>
      <c r="E2" s="4" t="s">
        <v>38</v>
      </c>
      <c r="F2" s="5">
        <v>365</v>
      </c>
    </row>
    <row r="3" spans="1:6" x14ac:dyDescent="0.25">
      <c r="A3" s="4" t="s">
        <v>14</v>
      </c>
      <c r="B3" s="4">
        <v>2021</v>
      </c>
      <c r="C3" s="4" t="s">
        <v>31</v>
      </c>
      <c r="D3" s="4" t="s">
        <v>35</v>
      </c>
      <c r="E3" s="4" t="s">
        <v>39</v>
      </c>
      <c r="F3" s="5">
        <v>132</v>
      </c>
    </row>
    <row r="4" spans="1:6" x14ac:dyDescent="0.25">
      <c r="A4" s="4" t="s">
        <v>13</v>
      </c>
      <c r="B4" s="4">
        <v>2022</v>
      </c>
      <c r="C4" s="4" t="s">
        <v>31</v>
      </c>
      <c r="D4" s="4" t="s">
        <v>36</v>
      </c>
      <c r="E4" s="4" t="s">
        <v>40</v>
      </c>
      <c r="F4" s="5">
        <v>204</v>
      </c>
    </row>
    <row r="5" spans="1:6" x14ac:dyDescent="0.25">
      <c r="A5" s="4" t="s">
        <v>15</v>
      </c>
      <c r="B5" s="4">
        <v>2020</v>
      </c>
      <c r="C5" s="4" t="s">
        <v>31</v>
      </c>
      <c r="D5" s="4" t="s">
        <v>37</v>
      </c>
      <c r="E5" s="4" t="s">
        <v>41</v>
      </c>
      <c r="F5" s="5">
        <v>136</v>
      </c>
    </row>
    <row r="6" spans="1:6" x14ac:dyDescent="0.25">
      <c r="A6" s="4" t="s">
        <v>16</v>
      </c>
      <c r="B6" s="4">
        <v>2021</v>
      </c>
      <c r="C6" s="4" t="s">
        <v>31</v>
      </c>
      <c r="D6" s="4" t="s">
        <v>34</v>
      </c>
      <c r="E6" s="4" t="s">
        <v>38</v>
      </c>
      <c r="F6" s="5">
        <v>341</v>
      </c>
    </row>
    <row r="7" spans="1:6" x14ac:dyDescent="0.25">
      <c r="A7" s="4" t="s">
        <v>17</v>
      </c>
      <c r="B7" s="4">
        <v>2022</v>
      </c>
      <c r="C7" s="4" t="s">
        <v>31</v>
      </c>
      <c r="D7" s="4" t="s">
        <v>35</v>
      </c>
      <c r="E7" s="4" t="s">
        <v>39</v>
      </c>
      <c r="F7" s="5">
        <v>114</v>
      </c>
    </row>
    <row r="8" spans="1:6" x14ac:dyDescent="0.25">
      <c r="A8" s="4" t="s">
        <v>18</v>
      </c>
      <c r="B8" s="4">
        <v>2020</v>
      </c>
      <c r="C8" s="4" t="s">
        <v>31</v>
      </c>
      <c r="D8" s="4" t="s">
        <v>36</v>
      </c>
      <c r="E8" s="4" t="s">
        <v>40</v>
      </c>
      <c r="F8" s="5">
        <v>276</v>
      </c>
    </row>
    <row r="9" spans="1:6" x14ac:dyDescent="0.25">
      <c r="A9" s="4" t="s">
        <v>16</v>
      </c>
      <c r="B9" s="4">
        <v>2021</v>
      </c>
      <c r="C9" s="4" t="s">
        <v>31</v>
      </c>
      <c r="D9" s="4" t="s">
        <v>37</v>
      </c>
      <c r="E9" s="4" t="s">
        <v>41</v>
      </c>
      <c r="F9" s="5">
        <v>119</v>
      </c>
    </row>
    <row r="10" spans="1:6" x14ac:dyDescent="0.25">
      <c r="A10" s="4" t="s">
        <v>20</v>
      </c>
      <c r="B10" s="4">
        <v>2022</v>
      </c>
      <c r="C10" s="4" t="s">
        <v>31</v>
      </c>
      <c r="D10" s="4" t="s">
        <v>34</v>
      </c>
      <c r="E10" s="4" t="s">
        <v>38</v>
      </c>
      <c r="F10" s="5">
        <v>114</v>
      </c>
    </row>
    <row r="11" spans="1:6" x14ac:dyDescent="0.25">
      <c r="A11" s="4" t="s">
        <v>21</v>
      </c>
      <c r="B11" s="4">
        <v>2020</v>
      </c>
      <c r="C11" s="4" t="s">
        <v>31</v>
      </c>
      <c r="D11" s="4" t="s">
        <v>35</v>
      </c>
      <c r="E11" s="4" t="s">
        <v>39</v>
      </c>
      <c r="F11" s="5">
        <v>398</v>
      </c>
    </row>
    <row r="12" spans="1:6" x14ac:dyDescent="0.25">
      <c r="A12" s="4" t="s">
        <v>23</v>
      </c>
      <c r="B12" s="4">
        <v>2021</v>
      </c>
      <c r="C12" s="4" t="s">
        <v>31</v>
      </c>
      <c r="D12" s="4" t="s">
        <v>36</v>
      </c>
      <c r="E12" s="4" t="s">
        <v>40</v>
      </c>
      <c r="F12" s="5">
        <v>337</v>
      </c>
    </row>
    <row r="13" spans="1:6" x14ac:dyDescent="0.25">
      <c r="A13" s="4" t="s">
        <v>25</v>
      </c>
      <c r="B13" s="4">
        <v>2022</v>
      </c>
      <c r="C13" s="4" t="s">
        <v>31</v>
      </c>
      <c r="D13" s="4" t="s">
        <v>37</v>
      </c>
      <c r="E13" s="4" t="s">
        <v>41</v>
      </c>
      <c r="F13" s="5">
        <v>159</v>
      </c>
    </row>
    <row r="14" spans="1:6" x14ac:dyDescent="0.25">
      <c r="A14" s="4" t="s">
        <v>13</v>
      </c>
      <c r="B14" s="4">
        <v>2020</v>
      </c>
      <c r="C14" s="4" t="s">
        <v>32</v>
      </c>
      <c r="D14" s="4" t="s">
        <v>34</v>
      </c>
      <c r="E14" s="4" t="s">
        <v>38</v>
      </c>
      <c r="F14" s="5">
        <v>396</v>
      </c>
    </row>
    <row r="15" spans="1:6" x14ac:dyDescent="0.25">
      <c r="A15" s="4" t="s">
        <v>14</v>
      </c>
      <c r="B15" s="4">
        <v>2021</v>
      </c>
      <c r="C15" s="4" t="s">
        <v>32</v>
      </c>
      <c r="D15" s="4" t="s">
        <v>35</v>
      </c>
      <c r="E15" s="4" t="s">
        <v>39</v>
      </c>
      <c r="F15" s="5">
        <v>220</v>
      </c>
    </row>
    <row r="16" spans="1:6" x14ac:dyDescent="0.25">
      <c r="A16" s="4" t="s">
        <v>13</v>
      </c>
      <c r="B16" s="4">
        <v>2022</v>
      </c>
      <c r="C16" s="4" t="s">
        <v>32</v>
      </c>
      <c r="D16" s="4" t="s">
        <v>36</v>
      </c>
      <c r="E16" s="4" t="s">
        <v>40</v>
      </c>
      <c r="F16" s="5">
        <v>128</v>
      </c>
    </row>
    <row r="17" spans="1:6" x14ac:dyDescent="0.25">
      <c r="A17" s="4" t="s">
        <v>15</v>
      </c>
      <c r="B17" s="4">
        <v>2020</v>
      </c>
      <c r="C17" s="4" t="s">
        <v>32</v>
      </c>
      <c r="D17" s="4" t="s">
        <v>37</v>
      </c>
      <c r="E17" s="4" t="s">
        <v>41</v>
      </c>
      <c r="F17" s="5">
        <v>393</v>
      </c>
    </row>
    <row r="18" spans="1:6" x14ac:dyDescent="0.25">
      <c r="A18" s="4" t="s">
        <v>16</v>
      </c>
      <c r="B18" s="4">
        <v>2021</v>
      </c>
      <c r="C18" s="4" t="s">
        <v>32</v>
      </c>
      <c r="D18" s="4" t="s">
        <v>34</v>
      </c>
      <c r="E18" s="4" t="s">
        <v>38</v>
      </c>
      <c r="F18" s="5">
        <v>256</v>
      </c>
    </row>
    <row r="19" spans="1:6" x14ac:dyDescent="0.25">
      <c r="A19" s="4" t="s">
        <v>17</v>
      </c>
      <c r="B19" s="4">
        <v>2022</v>
      </c>
      <c r="C19" s="4" t="s">
        <v>32</v>
      </c>
      <c r="D19" s="4" t="s">
        <v>35</v>
      </c>
      <c r="E19" s="4" t="s">
        <v>39</v>
      </c>
      <c r="F19" s="5">
        <v>116</v>
      </c>
    </row>
    <row r="20" spans="1:6" x14ac:dyDescent="0.25">
      <c r="A20" s="4" t="s">
        <v>16</v>
      </c>
      <c r="B20" s="4">
        <v>2020</v>
      </c>
      <c r="C20" s="4" t="s">
        <v>32</v>
      </c>
      <c r="D20" s="4" t="s">
        <v>36</v>
      </c>
      <c r="E20" s="4" t="s">
        <v>40</v>
      </c>
      <c r="F20" s="5">
        <v>170</v>
      </c>
    </row>
    <row r="21" spans="1:6" x14ac:dyDescent="0.25">
      <c r="A21" s="4" t="s">
        <v>19</v>
      </c>
      <c r="B21" s="4">
        <v>2021</v>
      </c>
      <c r="C21" s="4" t="s">
        <v>32</v>
      </c>
      <c r="D21" s="4" t="s">
        <v>37</v>
      </c>
      <c r="E21" s="4" t="s">
        <v>41</v>
      </c>
      <c r="F21" s="5">
        <v>350</v>
      </c>
    </row>
    <row r="22" spans="1:6" x14ac:dyDescent="0.25">
      <c r="A22" s="4" t="s">
        <v>22</v>
      </c>
      <c r="B22" s="4">
        <v>2022</v>
      </c>
      <c r="C22" s="4" t="s">
        <v>32</v>
      </c>
      <c r="D22" s="4" t="s">
        <v>34</v>
      </c>
      <c r="E22" s="4" t="s">
        <v>38</v>
      </c>
      <c r="F22" s="5">
        <v>161</v>
      </c>
    </row>
    <row r="23" spans="1:6" x14ac:dyDescent="0.25">
      <c r="A23" s="4" t="s">
        <v>24</v>
      </c>
      <c r="B23" s="4">
        <v>2020</v>
      </c>
      <c r="C23" s="4" t="s">
        <v>32</v>
      </c>
      <c r="D23" s="4" t="s">
        <v>35</v>
      </c>
      <c r="E23" s="4" t="s">
        <v>39</v>
      </c>
      <c r="F23" s="5">
        <v>313</v>
      </c>
    </row>
    <row r="24" spans="1:6" x14ac:dyDescent="0.25">
      <c r="A24" s="4" t="s">
        <v>25</v>
      </c>
      <c r="B24" s="4">
        <v>2021</v>
      </c>
      <c r="C24" s="4" t="s">
        <v>32</v>
      </c>
      <c r="D24" s="4" t="s">
        <v>36</v>
      </c>
      <c r="E24" s="4" t="s">
        <v>40</v>
      </c>
      <c r="F24" s="5">
        <v>345</v>
      </c>
    </row>
    <row r="25" spans="1:6" x14ac:dyDescent="0.25">
      <c r="A25" s="4" t="s">
        <v>1</v>
      </c>
      <c r="B25" s="4">
        <v>2022</v>
      </c>
      <c r="C25" s="4" t="s">
        <v>33</v>
      </c>
      <c r="D25" s="4" t="s">
        <v>37</v>
      </c>
      <c r="E25" s="4" t="s">
        <v>41</v>
      </c>
      <c r="F25" s="5">
        <v>176</v>
      </c>
    </row>
    <row r="26" spans="1:6" x14ac:dyDescent="0.25">
      <c r="A26" s="4" t="s">
        <v>2</v>
      </c>
      <c r="B26" s="4">
        <v>2020</v>
      </c>
      <c r="C26" s="4" t="s">
        <v>33</v>
      </c>
      <c r="D26" s="4" t="s">
        <v>34</v>
      </c>
      <c r="E26" s="4" t="s">
        <v>38</v>
      </c>
      <c r="F26" s="5">
        <v>301</v>
      </c>
    </row>
    <row r="27" spans="1:6" x14ac:dyDescent="0.25">
      <c r="A27" s="4" t="s">
        <v>1</v>
      </c>
      <c r="B27" s="4">
        <v>2021</v>
      </c>
      <c r="C27" s="4" t="s">
        <v>33</v>
      </c>
      <c r="D27" s="4" t="s">
        <v>35</v>
      </c>
      <c r="E27" s="4" t="s">
        <v>39</v>
      </c>
      <c r="F27" s="5">
        <v>318</v>
      </c>
    </row>
    <row r="28" spans="1:6" x14ac:dyDescent="0.25">
      <c r="A28" s="4" t="s">
        <v>3</v>
      </c>
      <c r="B28" s="4">
        <v>2022</v>
      </c>
      <c r="C28" s="4" t="s">
        <v>33</v>
      </c>
      <c r="D28" s="4" t="s">
        <v>36</v>
      </c>
      <c r="E28" s="4" t="s">
        <v>40</v>
      </c>
      <c r="F28" s="5">
        <v>275</v>
      </c>
    </row>
    <row r="29" spans="1:6" x14ac:dyDescent="0.25">
      <c r="A29" s="4" t="s">
        <v>4</v>
      </c>
      <c r="B29" s="4">
        <v>2020</v>
      </c>
      <c r="C29" s="4" t="s">
        <v>33</v>
      </c>
      <c r="D29" s="4" t="s">
        <v>37</v>
      </c>
      <c r="E29" s="4" t="s">
        <v>41</v>
      </c>
      <c r="F29" s="5">
        <v>133</v>
      </c>
    </row>
    <row r="30" spans="1:6" x14ac:dyDescent="0.25">
      <c r="A30" s="4" t="s">
        <v>5</v>
      </c>
      <c r="B30" s="4">
        <v>2021</v>
      </c>
      <c r="C30" s="4" t="s">
        <v>33</v>
      </c>
      <c r="D30" s="4" t="s">
        <v>34</v>
      </c>
      <c r="E30" s="4" t="s">
        <v>38</v>
      </c>
      <c r="F30" s="5">
        <v>332</v>
      </c>
    </row>
    <row r="31" spans="1:6" x14ac:dyDescent="0.25">
      <c r="A31" s="4" t="s">
        <v>6</v>
      </c>
      <c r="B31" s="4">
        <v>2022</v>
      </c>
      <c r="C31" s="4" t="s">
        <v>33</v>
      </c>
      <c r="D31" s="4" t="s">
        <v>35</v>
      </c>
      <c r="E31" s="4" t="s">
        <v>39</v>
      </c>
      <c r="F31" s="5">
        <v>260</v>
      </c>
    </row>
    <row r="32" spans="1:6" x14ac:dyDescent="0.25">
      <c r="A32" s="4" t="s">
        <v>7</v>
      </c>
      <c r="B32" s="4">
        <v>2020</v>
      </c>
      <c r="C32" s="4" t="s">
        <v>33</v>
      </c>
      <c r="D32" s="4" t="s">
        <v>36</v>
      </c>
      <c r="E32" s="4" t="s">
        <v>40</v>
      </c>
      <c r="F32" s="5">
        <v>255</v>
      </c>
    </row>
    <row r="33" spans="1:6" x14ac:dyDescent="0.25">
      <c r="A33" s="4" t="s">
        <v>8</v>
      </c>
      <c r="B33" s="4">
        <v>2021</v>
      </c>
      <c r="C33" s="4" t="s">
        <v>33</v>
      </c>
      <c r="D33" s="4" t="s">
        <v>37</v>
      </c>
      <c r="E33" s="4" t="s">
        <v>41</v>
      </c>
      <c r="F33" s="5">
        <v>213</v>
      </c>
    </row>
    <row r="34" spans="1:6" x14ac:dyDescent="0.25">
      <c r="A34" s="4" t="s">
        <v>9</v>
      </c>
      <c r="B34" s="4">
        <v>2022</v>
      </c>
      <c r="C34" s="4" t="s">
        <v>33</v>
      </c>
      <c r="D34" s="4" t="s">
        <v>34</v>
      </c>
      <c r="E34" s="4" t="s">
        <v>38</v>
      </c>
      <c r="F34" s="5">
        <v>178</v>
      </c>
    </row>
    <row r="35" spans="1:6" x14ac:dyDescent="0.25">
      <c r="A35" s="4" t="s">
        <v>10</v>
      </c>
      <c r="B35" s="4">
        <v>2020</v>
      </c>
      <c r="C35" s="4" t="s">
        <v>33</v>
      </c>
      <c r="D35" s="4" t="s">
        <v>35</v>
      </c>
      <c r="E35" s="4" t="s">
        <v>39</v>
      </c>
      <c r="F35" s="5">
        <v>261</v>
      </c>
    </row>
    <row r="36" spans="1:6" x14ac:dyDescent="0.25">
      <c r="A36" s="4" t="s">
        <v>11</v>
      </c>
      <c r="B36" s="4">
        <v>2021</v>
      </c>
      <c r="C36" s="4" t="s">
        <v>33</v>
      </c>
      <c r="D36" s="4" t="s">
        <v>36</v>
      </c>
      <c r="E36" s="4" t="s">
        <v>40</v>
      </c>
      <c r="F36" s="5">
        <v>225</v>
      </c>
    </row>
    <row r="37" spans="1:6" x14ac:dyDescent="0.25">
      <c r="A37" s="4" t="s">
        <v>12</v>
      </c>
      <c r="B37" s="4">
        <v>2022</v>
      </c>
      <c r="C37" s="4" t="s">
        <v>33</v>
      </c>
      <c r="D37" s="4" t="s">
        <v>37</v>
      </c>
      <c r="E37" s="4" t="s">
        <v>41</v>
      </c>
      <c r="F37" s="5">
        <v>327</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88351-AF80-4194-A875-8AB5F8BAC1C7}">
  <dimension ref="A2:K18"/>
  <sheetViews>
    <sheetView showGridLines="0" workbookViewId="0">
      <selection activeCell="K11" sqref="K11"/>
    </sheetView>
  </sheetViews>
  <sheetFormatPr defaultRowHeight="15" x14ac:dyDescent="0.25"/>
  <cols>
    <col min="1" max="1" width="13.140625" bestFit="1" customWidth="1"/>
    <col min="2" max="2" width="11.28515625" bestFit="1" customWidth="1"/>
    <col min="4" max="4" width="13.140625" bestFit="1" customWidth="1"/>
    <col min="5" max="5" width="11.28515625" bestFit="1" customWidth="1"/>
    <col min="7" max="7" width="13.140625" bestFit="1" customWidth="1"/>
    <col min="8" max="8" width="11.28515625" bestFit="1" customWidth="1"/>
    <col min="10" max="10" width="13.140625" bestFit="1" customWidth="1"/>
    <col min="11" max="11" width="11.28515625" bestFit="1" customWidth="1"/>
  </cols>
  <sheetData>
    <row r="2" spans="1:11" x14ac:dyDescent="0.25">
      <c r="A2" s="1" t="s">
        <v>26</v>
      </c>
      <c r="B2" t="s">
        <v>43</v>
      </c>
      <c r="D2" s="1" t="s">
        <v>26</v>
      </c>
      <c r="E2" t="s">
        <v>43</v>
      </c>
      <c r="G2" s="1" t="s">
        <v>26</v>
      </c>
      <c r="H2" t="s">
        <v>43</v>
      </c>
      <c r="J2" s="1" t="s">
        <v>26</v>
      </c>
      <c r="K2" t="s">
        <v>43</v>
      </c>
    </row>
    <row r="3" spans="1:11" x14ac:dyDescent="0.25">
      <c r="A3" s="2" t="s">
        <v>31</v>
      </c>
      <c r="B3" s="6">
        <v>2695</v>
      </c>
      <c r="D3" s="2" t="s">
        <v>34</v>
      </c>
      <c r="E3" s="6">
        <v>2444</v>
      </c>
      <c r="G3" s="2">
        <v>2020</v>
      </c>
      <c r="H3" s="6">
        <v>3397</v>
      </c>
      <c r="J3" s="2" t="s">
        <v>31</v>
      </c>
      <c r="K3" s="6">
        <v>2695</v>
      </c>
    </row>
    <row r="4" spans="1:11" x14ac:dyDescent="0.25">
      <c r="A4" s="3" t="s">
        <v>38</v>
      </c>
      <c r="B4" s="6">
        <v>820</v>
      </c>
      <c r="D4" s="2" t="s">
        <v>35</v>
      </c>
      <c r="E4" s="6">
        <v>2132</v>
      </c>
      <c r="G4" s="2">
        <v>2021</v>
      </c>
      <c r="H4" s="6">
        <v>3188</v>
      </c>
      <c r="J4" s="2" t="s">
        <v>32</v>
      </c>
      <c r="K4" s="6">
        <v>2848</v>
      </c>
    </row>
    <row r="5" spans="1:11" x14ac:dyDescent="0.25">
      <c r="A5" s="3" t="s">
        <v>39</v>
      </c>
      <c r="B5" s="6">
        <v>644</v>
      </c>
      <c r="D5" s="2" t="s">
        <v>36</v>
      </c>
      <c r="E5" s="6">
        <v>2215</v>
      </c>
      <c r="G5" s="2">
        <v>2022</v>
      </c>
      <c r="H5" s="6">
        <v>2212</v>
      </c>
      <c r="J5" s="2" t="s">
        <v>33</v>
      </c>
      <c r="K5" s="6">
        <v>3254</v>
      </c>
    </row>
    <row r="6" spans="1:11" x14ac:dyDescent="0.25">
      <c r="A6" s="3" t="s">
        <v>40</v>
      </c>
      <c r="B6" s="6">
        <v>817</v>
      </c>
      <c r="D6" s="2" t="s">
        <v>37</v>
      </c>
      <c r="E6" s="6">
        <v>2006</v>
      </c>
      <c r="G6" s="2" t="s">
        <v>27</v>
      </c>
      <c r="H6" s="6">
        <v>8797</v>
      </c>
      <c r="J6" s="2" t="s">
        <v>27</v>
      </c>
      <c r="K6" s="6">
        <v>8797</v>
      </c>
    </row>
    <row r="7" spans="1:11" x14ac:dyDescent="0.25">
      <c r="A7" s="3" t="s">
        <v>41</v>
      </c>
      <c r="B7" s="6">
        <v>414</v>
      </c>
      <c r="D7" s="2" t="s">
        <v>27</v>
      </c>
      <c r="E7" s="6">
        <v>8797</v>
      </c>
    </row>
    <row r="8" spans="1:11" x14ac:dyDescent="0.25">
      <c r="A8" s="2" t="s">
        <v>32</v>
      </c>
      <c r="B8" s="6">
        <v>2848</v>
      </c>
    </row>
    <row r="9" spans="1:11" x14ac:dyDescent="0.25">
      <c r="A9" s="3" t="s">
        <v>38</v>
      </c>
      <c r="B9" s="6">
        <v>813</v>
      </c>
    </row>
    <row r="10" spans="1:11" x14ac:dyDescent="0.25">
      <c r="A10" s="3" t="s">
        <v>39</v>
      </c>
      <c r="B10" s="6">
        <v>649</v>
      </c>
    </row>
    <row r="11" spans="1:11" x14ac:dyDescent="0.25">
      <c r="A11" s="3" t="s">
        <v>40</v>
      </c>
      <c r="B11" s="6">
        <v>643</v>
      </c>
    </row>
    <row r="12" spans="1:11" x14ac:dyDescent="0.25">
      <c r="A12" s="3" t="s">
        <v>41</v>
      </c>
      <c r="B12" s="6">
        <v>743</v>
      </c>
    </row>
    <row r="13" spans="1:11" x14ac:dyDescent="0.25">
      <c r="A13" s="2" t="s">
        <v>33</v>
      </c>
      <c r="B13" s="6">
        <v>3254</v>
      </c>
    </row>
    <row r="14" spans="1:11" x14ac:dyDescent="0.25">
      <c r="A14" s="3" t="s">
        <v>38</v>
      </c>
      <c r="B14" s="6">
        <v>811</v>
      </c>
    </row>
    <row r="15" spans="1:11" x14ac:dyDescent="0.25">
      <c r="A15" s="3" t="s">
        <v>39</v>
      </c>
      <c r="B15" s="6">
        <v>839</v>
      </c>
    </row>
    <row r="16" spans="1:11" x14ac:dyDescent="0.25">
      <c r="A16" s="3" t="s">
        <v>40</v>
      </c>
      <c r="B16" s="6">
        <v>755</v>
      </c>
    </row>
    <row r="17" spans="1:2" x14ac:dyDescent="0.25">
      <c r="A17" s="3" t="s">
        <v>41</v>
      </c>
      <c r="B17" s="6">
        <v>849</v>
      </c>
    </row>
    <row r="18" spans="1:2" x14ac:dyDescent="0.25">
      <c r="A18" s="2" t="s">
        <v>27</v>
      </c>
      <c r="B18" s="6">
        <v>8797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D2:U2"/>
  <sheetViews>
    <sheetView showGridLines="0" tabSelected="1" topLeftCell="A2" zoomScale="73" zoomScaleNormal="73" workbookViewId="0">
      <selection activeCell="V25" sqref="V25"/>
    </sheetView>
  </sheetViews>
  <sheetFormatPr defaultRowHeight="15" x14ac:dyDescent="0.25"/>
  <cols>
    <col min="9" max="9" width="14.28515625" bestFit="1" customWidth="1"/>
  </cols>
  <sheetData>
    <row r="2" spans="4:21" ht="23.25" x14ac:dyDescent="0.35">
      <c r="D2" s="7" t="s">
        <v>44</v>
      </c>
      <c r="E2" s="7"/>
      <c r="F2" s="7"/>
      <c r="G2" s="7"/>
      <c r="H2" s="7"/>
      <c r="I2" s="7"/>
      <c r="J2" s="7"/>
      <c r="K2" s="7"/>
      <c r="L2" s="7"/>
      <c r="M2" s="7"/>
      <c r="N2" s="7"/>
      <c r="O2" s="7"/>
      <c r="P2" s="7"/>
      <c r="Q2" s="7"/>
      <c r="R2" s="7"/>
      <c r="S2" s="7"/>
      <c r="T2" s="7"/>
      <c r="U2" s="7"/>
    </row>
  </sheetData>
  <mergeCells count="1">
    <mergeCell ref="D2:U2"/>
  </mergeCells>
  <phoneticPr fontId="2"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42710C8E-AC1E-43FD-85BE-67971C012EC4}">
  <ds:schemaRefs>
    <ds:schemaRef ds:uri="http://schemas.microsoft.com/PowerBIAddIn"/>
  </ds:schemaRefs>
</ds:datastoreItem>
</file>

<file path=customXml/itemProps2.xml><?xml version="1.0" encoding="utf-8"?>
<ds:datastoreItem xmlns:ds="http://schemas.openxmlformats.org/officeDocument/2006/customXml" ds:itemID="{72CDFB4A-98F5-4CAA-8687-855942F1A54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Elchin Tarverdiyev</dc:creator>
  <cp:lastModifiedBy>Samir Nəcəfov</cp:lastModifiedBy>
  <dcterms:created xsi:type="dcterms:W3CDTF">2019-08-29T12:18:29Z</dcterms:created>
  <dcterms:modified xsi:type="dcterms:W3CDTF">2026-01-24T13:24:56Z</dcterms:modified>
</cp:coreProperties>
</file>